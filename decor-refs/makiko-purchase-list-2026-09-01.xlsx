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<sst xmlns="http://schemas.openxmlformats.org/spreadsheetml/2006/main" count="62" uniqueCount="53">
  <si>
    <t>購入物リスト</t>
  </si>
  <si>
    <t>追加必要物</t>
  </si>
  <si>
    <t>（テーブルデコレーション）</t>
  </si>
  <si>
    <t>高砂テーブル</t>
  </si>
  <si>
    <t>品名</t>
  </si>
  <si>
    <t>単価</t>
  </si>
  <si>
    <t>個数</t>
  </si>
  <si>
    <t>金額</t>
  </si>
  <si>
    <t>メモ</t>
  </si>
  <si>
    <t>高砂デコレーション</t>
  </si>
  <si>
    <t>テーブルセンター</t>
  </si>
  <si>
    <t>テーブルサイズや配置により変動</t>
  </si>
  <si>
    <t>（テーブルレンタル？テーブルクロス？</t>
  </si>
  <si>
    <t>ユーカリ　ガーランド</t>
  </si>
  <si>
    <t>カップキャンドル（５０個入り）</t>
  </si>
  <si>
    <t>装花</t>
  </si>
  <si>
    <t>IKEAキャンドル</t>
  </si>
  <si>
    <t>キャンドル</t>
  </si>
  <si>
    <t>スタンドキャンドル</t>
  </si>
  <si>
    <t>確認事項</t>
  </si>
  <si>
    <t>生花または造花</t>
  </si>
  <si>
    <t>どのようなデコレーションを希望か？</t>
  </si>
  <si>
    <t>椅子レンタル</t>
  </si>
  <si>
    <t>高砂を作る場合は予算が足りない</t>
  </si>
  <si>
    <t>ナプキン・おしぼり</t>
  </si>
  <si>
    <t>現段階でも花の金額が両サイド設置の場合足りない</t>
  </si>
  <si>
    <t>ビュッフェ台のデコレーションも別途請求</t>
  </si>
  <si>
    <t>（Laule’a レンタル）</t>
  </si>
  <si>
    <t>司会スピーチのテーブルに椅子は必要か？</t>
  </si>
  <si>
    <t>ナンバースタンド</t>
  </si>
  <si>
    <t>なくてもOK、座席に名前カードおいておくとか</t>
  </si>
  <si>
    <t>椅子は写真のようにハイチェア利用か？</t>
  </si>
  <si>
    <t>フラワーベース（小）</t>
  </si>
  <si>
    <t>ユーカリガーラントとテーブルセンター</t>
  </si>
  <si>
    <t>ナプキンホルダー</t>
  </si>
  <si>
    <t>木の箱</t>
  </si>
  <si>
    <t>デコ箇所が多いのでもう一人または前日入りでスタッフ追加</t>
  </si>
  <si>
    <t>メニュースタンド</t>
  </si>
  <si>
    <t>スタンドキャンドルホルダー</t>
  </si>
  <si>
    <t>キャンドルグラスホルダー（小）</t>
  </si>
  <si>
    <t>キャンドルグラスホルダー（中）</t>
  </si>
  <si>
    <t>キャンドルグラスホルダー（大）</t>
  </si>
  <si>
    <t>ウッドスライス</t>
  </si>
  <si>
    <t>（挙式会場）</t>
  </si>
  <si>
    <t>フラワーベーススタンド大</t>
  </si>
  <si>
    <t>なくすか要検討</t>
  </si>
  <si>
    <t>造花レンタル</t>
  </si>
  <si>
    <t>テーブルレンタル</t>
  </si>
  <si>
    <t>ガーランドまたは花などの装飾</t>
  </si>
  <si>
    <t>ブーケスタンド</t>
  </si>
  <si>
    <t>作業備品</t>
  </si>
  <si>
    <t>基本料金３００００円</t>
  </si>
  <si>
    <t>人件費２８０００円（１４０００）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</si>
</sst>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177" formatCode="_-&quot;\&quot;* #,##0_-\ ;\-&quot;\&quot;* #,##0_-\ ;_-&quot;\&quot;* &quot;-&quot;??_-\ ;_-@_-"/>
    <numFmt numFmtId="43" formatCode="_ * #,##0.00_ ;_ * \-#,##0.00_ ;_ * &quot;-&quot;??_ ;_ @_ "/>
    <numFmt numFmtId="178" formatCode="_-&quot;\&quot;* #,##0.00_-\ ;\-&quot;\&quot;* #,##0.00_-\ ;_-&quot;\&quot;* &quot;-&quot;??_-\ ;_-@_-"/>
  </numFmts>
  <fonts count="23">
    <font>
      <sz val="11"/>
      <color theme="1"/>
      <name val="游ゴシック"/>
      <charset val="128"/>
      <scheme val="minor"/>
    </font>
    <font>
      <b/>
      <sz val="18"/>
      <color theme="1"/>
      <name val="游ゴシック"/>
      <charset val="128"/>
      <scheme val="minor"/>
    </font>
    <font>
      <b/>
      <sz val="11"/>
      <color theme="1"/>
      <name val="游ゴシック"/>
      <charset val="128"/>
      <scheme val="minor"/>
    </font>
    <font>
      <sz val="11"/>
      <color rgb="FF9C0006"/>
      <name val="游ゴシック"/>
      <charset val="0"/>
      <scheme val="minor"/>
    </font>
    <font>
      <sz val="11"/>
      <color rgb="FF3F3F76"/>
      <name val="游ゴシック"/>
      <charset val="0"/>
      <scheme val="minor"/>
    </font>
    <font>
      <sz val="11"/>
      <color theme="0"/>
      <name val="游ゴシック"/>
      <charset val="0"/>
      <scheme val="minor"/>
    </font>
    <font>
      <sz val="11"/>
      <color theme="1"/>
      <name val="游ゴシック"/>
      <charset val="134"/>
      <scheme val="minor"/>
    </font>
    <font>
      <sz val="11"/>
      <color theme="1"/>
      <name val="游ゴシック"/>
      <charset val="0"/>
      <scheme val="minor"/>
    </font>
    <font>
      <i/>
      <sz val="11"/>
      <color rgb="FF7F7F7F"/>
      <name val="游ゴシック"/>
      <charset val="0"/>
      <scheme val="minor"/>
    </font>
    <font>
      <sz val="11"/>
      <color rgb="FF9C6500"/>
      <name val="游ゴシック"/>
      <charset val="0"/>
      <scheme val="minor"/>
    </font>
    <font>
      <u/>
      <sz val="11"/>
      <color rgb="FF0000FF"/>
      <name val="游ゴシック"/>
      <charset val="0"/>
      <scheme val="minor"/>
    </font>
    <font>
      <b/>
      <sz val="11"/>
      <color theme="3"/>
      <name val="游ゴシック"/>
      <charset val="134"/>
      <scheme val="minor"/>
    </font>
    <font>
      <u/>
      <sz val="11"/>
      <color rgb="FF800080"/>
      <name val="游ゴシック"/>
      <charset val="0"/>
      <scheme val="minor"/>
    </font>
    <font>
      <sz val="11"/>
      <color rgb="FF006100"/>
      <name val="游ゴシック"/>
      <charset val="0"/>
      <scheme val="minor"/>
    </font>
    <font>
      <sz val="11"/>
      <color rgb="FFFF0000"/>
      <name val="游ゴシック"/>
      <charset val="0"/>
      <scheme val="minor"/>
    </font>
    <font>
      <b/>
      <sz val="11"/>
      <color rgb="FFFFFFFF"/>
      <name val="游ゴシック"/>
      <charset val="0"/>
      <scheme val="minor"/>
    </font>
    <font>
      <sz val="11"/>
      <color rgb="FFFA7D00"/>
      <name val="游ゴシック"/>
      <charset val="0"/>
      <scheme val="minor"/>
    </font>
    <font>
      <b/>
      <sz val="15"/>
      <color theme="3"/>
      <name val="游ゴシック"/>
      <charset val="134"/>
      <scheme val="minor"/>
    </font>
    <font>
      <b/>
      <sz val="18"/>
      <color theme="3"/>
      <name val="游ゴシック"/>
      <charset val="134"/>
      <scheme val="minor"/>
    </font>
    <font>
      <b/>
      <sz val="11"/>
      <color rgb="FF3F3F3F"/>
      <name val="游ゴシック"/>
      <charset val="0"/>
      <scheme val="minor"/>
    </font>
    <font>
      <b/>
      <sz val="13"/>
      <color theme="3"/>
      <name val="游ゴシック"/>
      <charset val="134"/>
      <scheme val="minor"/>
    </font>
    <font>
      <b/>
      <sz val="11"/>
      <color rgb="FFFA7D00"/>
      <name val="游ゴシック"/>
      <charset val="0"/>
      <scheme val="minor"/>
    </font>
    <font>
      <b/>
      <sz val="11"/>
      <color theme="1"/>
      <name val="游ゴシック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6" borderId="10" applyNumberFormat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16" borderId="12" applyNumberFormat="0" applyFon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9" fillId="24" borderId="16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4" borderId="10" applyNumberFormat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5" fillId="20" borderId="13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3" borderId="4" xfId="0" applyFill="1" applyBorder="1">
      <alignment vertical="center"/>
    </xf>
    <xf numFmtId="0" fontId="0" fillId="4" borderId="4" xfId="0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workbookViewId="0">
      <selection activeCell="A1" sqref="A1"/>
    </sheetView>
  </sheetViews>
  <sheetFormatPr defaultColWidth="9" defaultRowHeight="18.75" outlineLevelCol="6"/>
  <cols>
    <col min="1" max="1" width="38.25" customWidth="1"/>
    <col min="2" max="2" width="9.75" customWidth="1"/>
    <col min="5" max="5" width="41.75" customWidth="1"/>
    <col min="7" max="7" width="53.125" customWidth="1"/>
  </cols>
  <sheetData>
    <row r="1" ht="30.75" spans="1:7">
      <c r="A1" s="1" t="s">
        <v>0</v>
      </c>
      <c r="G1" s="2" t="s">
        <v>1</v>
      </c>
    </row>
    <row r="2" spans="1:7">
      <c r="A2" s="3" t="s">
        <v>2</v>
      </c>
      <c r="B2" s="4"/>
      <c r="C2" s="4"/>
      <c r="D2" s="4"/>
      <c r="E2" s="5"/>
      <c r="G2" t="s">
        <v>3</v>
      </c>
    </row>
    <row r="3" spans="1:7">
      <c r="A3" s="6" t="s">
        <v>4</v>
      </c>
      <c r="B3" s="7" t="s">
        <v>5</v>
      </c>
      <c r="C3" s="7" t="s">
        <v>6</v>
      </c>
      <c r="D3" s="7" t="s">
        <v>7</v>
      </c>
      <c r="E3" s="8" t="s">
        <v>8</v>
      </c>
      <c r="G3" t="s">
        <v>9</v>
      </c>
    </row>
    <row r="4" spans="1:7">
      <c r="A4" s="6" t="s">
        <v>10</v>
      </c>
      <c r="B4" s="7">
        <v>700</v>
      </c>
      <c r="C4" s="7">
        <v>6</v>
      </c>
      <c r="D4" s="7">
        <f>SUM(B4*C4)</f>
        <v>4200</v>
      </c>
      <c r="E4" s="8" t="s">
        <v>11</v>
      </c>
      <c r="G4" t="s">
        <v>12</v>
      </c>
    </row>
    <row r="5" spans="1:7">
      <c r="A5" s="6" t="s">
        <v>13</v>
      </c>
      <c r="B5" s="7">
        <v>1500</v>
      </c>
      <c r="C5" s="7">
        <v>6</v>
      </c>
      <c r="D5" s="7">
        <f t="shared" ref="D5:D31" si="0">SUM(B5*C5)</f>
        <v>9000</v>
      </c>
      <c r="E5" s="8" t="s">
        <v>11</v>
      </c>
      <c r="G5" t="s">
        <v>10</v>
      </c>
    </row>
    <row r="6" spans="1:7">
      <c r="A6" s="6" t="s">
        <v>14</v>
      </c>
      <c r="B6" s="7">
        <v>1500</v>
      </c>
      <c r="C6" s="7">
        <v>1</v>
      </c>
      <c r="D6" s="7">
        <f t="shared" si="0"/>
        <v>1500</v>
      </c>
      <c r="E6" s="8"/>
      <c r="G6" t="s">
        <v>15</v>
      </c>
    </row>
    <row r="7" spans="1:7">
      <c r="A7" s="6" t="s">
        <v>16</v>
      </c>
      <c r="B7" s="7">
        <v>799</v>
      </c>
      <c r="C7" s="7">
        <v>4</v>
      </c>
      <c r="D7" s="7">
        <f t="shared" si="0"/>
        <v>3196</v>
      </c>
      <c r="E7" s="8"/>
      <c r="G7" t="s">
        <v>17</v>
      </c>
    </row>
    <row r="8" spans="1:7">
      <c r="A8" s="6" t="s">
        <v>18</v>
      </c>
      <c r="B8" s="7">
        <v>1000</v>
      </c>
      <c r="C8" s="7">
        <v>2</v>
      </c>
      <c r="D8" s="7">
        <f t="shared" si="0"/>
        <v>2000</v>
      </c>
      <c r="E8" s="8"/>
      <c r="G8" s="2" t="s">
        <v>19</v>
      </c>
    </row>
    <row r="9" spans="1:7">
      <c r="A9" s="6" t="s">
        <v>20</v>
      </c>
      <c r="B9" s="7">
        <v>1500</v>
      </c>
      <c r="C9" s="7">
        <v>6</v>
      </c>
      <c r="D9" s="7">
        <f t="shared" si="0"/>
        <v>9000</v>
      </c>
      <c r="E9" s="8"/>
      <c r="G9" t="s">
        <v>21</v>
      </c>
    </row>
    <row r="10" spans="1:7">
      <c r="A10" s="6" t="s">
        <v>22</v>
      </c>
      <c r="B10" s="7">
        <v>2000</v>
      </c>
      <c r="C10" s="7">
        <v>2</v>
      </c>
      <c r="D10" s="7">
        <f t="shared" si="0"/>
        <v>4000</v>
      </c>
      <c r="E10" s="8"/>
      <c r="G10" t="s">
        <v>23</v>
      </c>
    </row>
    <row r="11" spans="1:7">
      <c r="A11" s="6" t="s">
        <v>24</v>
      </c>
      <c r="B11" s="7">
        <v>3000</v>
      </c>
      <c r="C11" s="7">
        <v>1</v>
      </c>
      <c r="D11" s="7">
        <f t="shared" ref="D11" si="1">SUM(B11*C11)</f>
        <v>3000</v>
      </c>
      <c r="E11" s="8"/>
      <c r="G11" t="s">
        <v>25</v>
      </c>
    </row>
    <row r="12" spans="1:7">
      <c r="A12" s="6"/>
      <c r="B12" s="7"/>
      <c r="C12" s="7"/>
      <c r="D12" s="7"/>
      <c r="E12" s="8"/>
      <c r="G12" t="s">
        <v>26</v>
      </c>
    </row>
    <row r="13" spans="1:7">
      <c r="A13" s="9" t="s">
        <v>27</v>
      </c>
      <c r="B13" s="7"/>
      <c r="C13" s="7"/>
      <c r="D13" s="7"/>
      <c r="E13" s="8"/>
      <c r="G13" t="s">
        <v>28</v>
      </c>
    </row>
    <row r="14" spans="1:7">
      <c r="A14" s="6" t="s">
        <v>29</v>
      </c>
      <c r="B14" s="7">
        <v>150</v>
      </c>
      <c r="C14" s="7">
        <v>6</v>
      </c>
      <c r="D14" s="7">
        <f t="shared" si="0"/>
        <v>900</v>
      </c>
      <c r="E14" s="8" t="s">
        <v>30</v>
      </c>
      <c r="G14" t="s">
        <v>31</v>
      </c>
    </row>
    <row r="15" spans="1:7">
      <c r="A15" s="6" t="s">
        <v>32</v>
      </c>
      <c r="B15" s="7">
        <v>200</v>
      </c>
      <c r="C15" s="7">
        <v>12</v>
      </c>
      <c r="D15" s="7">
        <f t="shared" si="0"/>
        <v>2400</v>
      </c>
      <c r="E15" s="8"/>
      <c r="G15" t="s">
        <v>33</v>
      </c>
    </row>
    <row r="16" spans="1:7">
      <c r="A16" s="6" t="s">
        <v>34</v>
      </c>
      <c r="B16" s="7">
        <v>100</v>
      </c>
      <c r="C16" s="7">
        <v>12</v>
      </c>
      <c r="D16" s="7">
        <f t="shared" si="0"/>
        <v>1200</v>
      </c>
      <c r="E16" s="8" t="s">
        <v>35</v>
      </c>
      <c r="G16" t="s">
        <v>36</v>
      </c>
    </row>
    <row r="17" spans="1:5">
      <c r="A17" s="6" t="s">
        <v>37</v>
      </c>
      <c r="B17" s="7">
        <v>150</v>
      </c>
      <c r="C17" s="7">
        <v>12</v>
      </c>
      <c r="D17" s="7">
        <f t="shared" si="0"/>
        <v>1800</v>
      </c>
      <c r="E17" s="8"/>
    </row>
    <row r="18" spans="1:5">
      <c r="A18" s="6" t="s">
        <v>38</v>
      </c>
      <c r="B18" s="7">
        <v>200</v>
      </c>
      <c r="C18" s="7">
        <v>12</v>
      </c>
      <c r="D18" s="7">
        <f t="shared" ref="D18" si="2">SUM(B18*C18)</f>
        <v>2400</v>
      </c>
      <c r="E18" s="8"/>
    </row>
    <row r="19" spans="1:5">
      <c r="A19" s="6" t="s">
        <v>39</v>
      </c>
      <c r="B19" s="7">
        <v>200</v>
      </c>
      <c r="C19" s="7">
        <v>18</v>
      </c>
      <c r="D19" s="7">
        <f t="shared" ref="D19:D21" si="3">SUM(B19*C19)</f>
        <v>3600</v>
      </c>
      <c r="E19" s="8"/>
    </row>
    <row r="20" spans="1:5">
      <c r="A20" s="6" t="s">
        <v>40</v>
      </c>
      <c r="B20" s="7">
        <v>200</v>
      </c>
      <c r="C20" s="7">
        <v>18</v>
      </c>
      <c r="D20" s="7">
        <f t="shared" si="3"/>
        <v>3600</v>
      </c>
      <c r="E20" s="8"/>
    </row>
    <row r="21" spans="1:5">
      <c r="A21" s="6" t="s">
        <v>41</v>
      </c>
      <c r="B21" s="7">
        <v>200</v>
      </c>
      <c r="C21" s="7">
        <v>12</v>
      </c>
      <c r="D21" s="7">
        <f t="shared" si="3"/>
        <v>2400</v>
      </c>
      <c r="E21" s="8"/>
    </row>
    <row r="22" spans="1:5">
      <c r="A22" s="6" t="s">
        <v>42</v>
      </c>
      <c r="B22" s="7">
        <v>500</v>
      </c>
      <c r="C22" s="7">
        <v>2</v>
      </c>
      <c r="D22" s="7">
        <f t="shared" si="0"/>
        <v>1000</v>
      </c>
      <c r="E22" s="8"/>
    </row>
    <row r="23" spans="1:5">
      <c r="A23" s="6"/>
      <c r="B23" s="7"/>
      <c r="C23" s="7"/>
      <c r="D23" s="7"/>
      <c r="E23" s="8"/>
    </row>
    <row r="24" spans="1:5">
      <c r="A24" s="10" t="s">
        <v>43</v>
      </c>
      <c r="B24" s="7"/>
      <c r="C24" s="7"/>
      <c r="D24" s="7"/>
      <c r="E24" s="8"/>
    </row>
    <row r="25" spans="1:5">
      <c r="A25" s="6" t="s">
        <v>44</v>
      </c>
      <c r="B25" s="7">
        <v>2500</v>
      </c>
      <c r="C25" s="7">
        <v>2</v>
      </c>
      <c r="D25" s="7">
        <f t="shared" si="0"/>
        <v>5000</v>
      </c>
      <c r="E25" s="8" t="s">
        <v>45</v>
      </c>
    </row>
    <row r="26" spans="1:5">
      <c r="A26" s="6" t="s">
        <v>46</v>
      </c>
      <c r="B26" s="7">
        <v>5000</v>
      </c>
      <c r="C26" s="7">
        <v>1</v>
      </c>
      <c r="D26" s="7">
        <f t="shared" si="0"/>
        <v>5000</v>
      </c>
      <c r="E26" s="8" t="s">
        <v>45</v>
      </c>
    </row>
    <row r="27" spans="1:5">
      <c r="A27" s="6" t="s">
        <v>20</v>
      </c>
      <c r="B27" s="7">
        <v>12000</v>
      </c>
      <c r="C27" s="7">
        <v>1</v>
      </c>
      <c r="D27" s="7">
        <f t="shared" si="0"/>
        <v>12000</v>
      </c>
      <c r="E27" s="8" t="s">
        <v>45</v>
      </c>
    </row>
    <row r="28" spans="1:5">
      <c r="A28" s="6" t="s">
        <v>47</v>
      </c>
      <c r="B28" s="7">
        <v>4000</v>
      </c>
      <c r="C28" s="7">
        <v>1</v>
      </c>
      <c r="D28" s="7">
        <f t="shared" si="0"/>
        <v>4000</v>
      </c>
      <c r="E28" s="8" t="s">
        <v>45</v>
      </c>
    </row>
    <row r="29" spans="1:5">
      <c r="A29" s="6" t="s">
        <v>48</v>
      </c>
      <c r="B29" s="7">
        <v>5000</v>
      </c>
      <c r="C29" s="7">
        <v>1</v>
      </c>
      <c r="D29" s="7">
        <f t="shared" si="0"/>
        <v>5000</v>
      </c>
      <c r="E29" s="8" t="s">
        <v>45</v>
      </c>
    </row>
    <row r="30" spans="1:5">
      <c r="A30" s="6" t="s">
        <v>49</v>
      </c>
      <c r="B30" s="7">
        <v>1000</v>
      </c>
      <c r="C30" s="7">
        <v>1</v>
      </c>
      <c r="D30" s="7">
        <f t="shared" si="0"/>
        <v>1000</v>
      </c>
      <c r="E30" s="8" t="s">
        <v>45</v>
      </c>
    </row>
    <row r="31" spans="1:5">
      <c r="A31" s="6" t="s">
        <v>50</v>
      </c>
      <c r="B31" s="7">
        <v>5000</v>
      </c>
      <c r="C31" s="7">
        <v>1</v>
      </c>
      <c r="D31" s="7">
        <f t="shared" si="0"/>
        <v>5000</v>
      </c>
      <c r="E31" s="8" t="s">
        <v>45</v>
      </c>
    </row>
    <row r="32" spans="1:5">
      <c r="A32" s="6"/>
      <c r="B32" s="7"/>
      <c r="C32" s="7"/>
      <c r="D32" s="7"/>
      <c r="E32" s="8"/>
    </row>
    <row r="33" ht="19.5" spans="1:5">
      <c r="A33" s="11"/>
      <c r="B33" s="12"/>
      <c r="C33" s="12"/>
      <c r="D33" s="12">
        <f>SUM(D4:D32)</f>
        <v>92196</v>
      </c>
      <c r="E33" s="13"/>
    </row>
    <row r="35" spans="5:5">
      <c r="E35" t="s">
        <v>51</v>
      </c>
    </row>
    <row r="36" spans="5:5">
      <c r="E36" t="s">
        <v>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Makiko Shimoda</dc:creator>
  <cp:lastModifiedBy>User</cp:lastModifiedBy>
  <dcterms:created xsi:type="dcterms:W3CDTF">2026-09-01T05:26:00Z</dcterms:created>
  <dcterms:modified xsi:type="dcterms:W3CDTF">2026-09-01T10:51:28Z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9B539273CCC94CADB7537F0584FBC9F3</vt:lpwstr>
  </property>
  <property fmtid="{D5CDD505-2E9C-101B-9397-08002B2CF9AE}" pid="3" name="KSOProductBuildVer">
    <vt:lpwstr>1041-11.2.0.10624</vt:lpwstr>
  </property>
</Properties>
</file>