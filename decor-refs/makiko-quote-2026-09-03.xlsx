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53eee89a27b70a/ドキュメント/"/>
    </mc:Choice>
  </mc:AlternateContent>
  <xr:revisionPtr revIDLastSave="208" documentId="8_{BA411562-04B2-4F1C-A862-81AFAE486A26}" xr6:coauthVersionLast="47" xr6:coauthVersionMax="47" xr10:uidLastSave="{41845C6A-B3C0-496A-8F03-F825B735809D}"/>
  <bookViews>
    <workbookView xWindow="-120" yWindow="-120" windowWidth="23280" windowHeight="14880" activeTab="1" xr2:uid="{A2E44250-DFE8-483A-B500-919E50A8AF24}"/>
  </bookViews>
  <sheets>
    <sheet name="2026.9.1" sheetId="1" r:id="rId1"/>
    <sheet name="2026.9.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34" i="2"/>
  <c r="D28" i="2"/>
  <c r="D32" i="2"/>
  <c r="D33" i="2"/>
  <c r="D31" i="2"/>
  <c r="D27" i="2"/>
  <c r="D17" i="2"/>
  <c r="D14" i="2"/>
  <c r="D13" i="2"/>
  <c r="D12" i="2"/>
  <c r="D26" i="2"/>
  <c r="D25" i="2"/>
  <c r="D24" i="2"/>
  <c r="D23" i="2"/>
  <c r="D22" i="2"/>
  <c r="D21" i="2"/>
  <c r="D20" i="2"/>
  <c r="D19" i="2"/>
  <c r="D18" i="2"/>
  <c r="D11" i="2"/>
  <c r="D10" i="2"/>
  <c r="D9" i="2"/>
  <c r="D8" i="2"/>
  <c r="D7" i="2"/>
  <c r="D6" i="2"/>
  <c r="D5" i="2"/>
  <c r="D4" i="2"/>
  <c r="D11" i="1"/>
  <c r="D31" i="1"/>
  <c r="D30" i="1"/>
  <c r="D29" i="1"/>
  <c r="D28" i="1"/>
  <c r="D27" i="1"/>
  <c r="D26" i="1"/>
  <c r="D10" i="1"/>
  <c r="D9" i="1"/>
  <c r="D18" i="1"/>
  <c r="D7" i="1"/>
  <c r="D21" i="1"/>
  <c r="D20" i="1"/>
  <c r="D19" i="1"/>
  <c r="D5" i="1"/>
  <c r="D6" i="1"/>
  <c r="D8" i="1"/>
  <c r="D14" i="1"/>
  <c r="D15" i="1"/>
  <c r="D16" i="1"/>
  <c r="D17" i="1"/>
  <c r="D22" i="1"/>
  <c r="D25" i="1"/>
  <c r="D4" i="1"/>
  <c r="D39" i="2" l="1"/>
  <c r="F44" i="2" s="1"/>
  <c r="D33" i="1"/>
</calcChain>
</file>

<file path=xl/sharedStrings.xml><?xml version="1.0" encoding="utf-8"?>
<sst xmlns="http://schemas.openxmlformats.org/spreadsheetml/2006/main" count="118" uniqueCount="84">
  <si>
    <t>購入物リスト</t>
    <rPh sb="0" eb="2">
      <t>コウニュウ</t>
    </rPh>
    <rPh sb="2" eb="3">
      <t>ブツ</t>
    </rPh>
    <phoneticPr fontId="1"/>
  </si>
  <si>
    <t>（テーブルデコレーション）</t>
    <phoneticPr fontId="1"/>
  </si>
  <si>
    <t>テーブルセンター</t>
    <phoneticPr fontId="1"/>
  </si>
  <si>
    <t>品名</t>
    <rPh sb="0" eb="2">
      <t>ヒンメイ</t>
    </rPh>
    <phoneticPr fontId="1"/>
  </si>
  <si>
    <t>単価</t>
    <rPh sb="0" eb="2">
      <t>タンカ</t>
    </rPh>
    <phoneticPr fontId="1"/>
  </si>
  <si>
    <t>個数</t>
    <rPh sb="0" eb="2">
      <t>コスウ</t>
    </rPh>
    <phoneticPr fontId="1"/>
  </si>
  <si>
    <t>金額</t>
    <rPh sb="0" eb="2">
      <t>キンガク</t>
    </rPh>
    <phoneticPr fontId="1"/>
  </si>
  <si>
    <t>メモ</t>
    <phoneticPr fontId="1"/>
  </si>
  <si>
    <t>テーブルサイズや配置により変動</t>
    <rPh sb="8" eb="10">
      <t>ハイチ</t>
    </rPh>
    <rPh sb="13" eb="15">
      <t>ヘンドウ</t>
    </rPh>
    <phoneticPr fontId="1"/>
  </si>
  <si>
    <t>ユーカリ　ガーランド</t>
    <phoneticPr fontId="1"/>
  </si>
  <si>
    <t>キャンドルグラスホルダー（小）</t>
    <rPh sb="13" eb="14">
      <t>ショウ</t>
    </rPh>
    <phoneticPr fontId="1"/>
  </si>
  <si>
    <t>キャンドルグラスホルダー（中）</t>
    <rPh sb="13" eb="14">
      <t>チュウ</t>
    </rPh>
    <phoneticPr fontId="1"/>
  </si>
  <si>
    <t>キャンドルグラスホルダー（大）</t>
    <rPh sb="13" eb="14">
      <t>ダイ</t>
    </rPh>
    <phoneticPr fontId="1"/>
  </si>
  <si>
    <t>カップキャンドル（５０個入り）</t>
    <rPh sb="11" eb="12">
      <t>コ</t>
    </rPh>
    <rPh sb="12" eb="13">
      <t>イ</t>
    </rPh>
    <phoneticPr fontId="1"/>
  </si>
  <si>
    <t>IKEAキャンドル</t>
    <phoneticPr fontId="1"/>
  </si>
  <si>
    <t>スタンドキャンドル</t>
    <phoneticPr fontId="1"/>
  </si>
  <si>
    <t>スタンドキャンドルホルダー</t>
    <phoneticPr fontId="1"/>
  </si>
  <si>
    <t>メニュースタンド</t>
    <phoneticPr fontId="1"/>
  </si>
  <si>
    <t>ナプキンホルダー</t>
    <phoneticPr fontId="1"/>
  </si>
  <si>
    <t>フラワーベース（小）</t>
    <rPh sb="8" eb="9">
      <t>ショウ</t>
    </rPh>
    <phoneticPr fontId="1"/>
  </si>
  <si>
    <t>ナンバースタンド</t>
    <phoneticPr fontId="1"/>
  </si>
  <si>
    <t>ナプキン・おしぼり</t>
    <phoneticPr fontId="1"/>
  </si>
  <si>
    <t>生花または造花</t>
    <rPh sb="0" eb="2">
      <t>セイカ</t>
    </rPh>
    <rPh sb="5" eb="7">
      <t>ゾウカ</t>
    </rPh>
    <phoneticPr fontId="1"/>
  </si>
  <si>
    <t>ウッドスライス</t>
    <phoneticPr fontId="1"/>
  </si>
  <si>
    <t>椅子レンタル</t>
    <rPh sb="0" eb="2">
      <t>イス</t>
    </rPh>
    <phoneticPr fontId="1"/>
  </si>
  <si>
    <t>（挙式会場）</t>
    <rPh sb="1" eb="3">
      <t>キョシキ</t>
    </rPh>
    <rPh sb="3" eb="5">
      <t>カイジョウ</t>
    </rPh>
    <phoneticPr fontId="1"/>
  </si>
  <si>
    <t>フラワーベーススタンド大</t>
    <rPh sb="11" eb="12">
      <t>ダイ</t>
    </rPh>
    <phoneticPr fontId="1"/>
  </si>
  <si>
    <t>造花レンタル</t>
    <rPh sb="0" eb="2">
      <t>ゾウカ</t>
    </rPh>
    <phoneticPr fontId="1"/>
  </si>
  <si>
    <t>テーブルレンタル</t>
    <phoneticPr fontId="1"/>
  </si>
  <si>
    <t>ガーランドまたは花などの装飾</t>
    <rPh sb="8" eb="9">
      <t>ハナ</t>
    </rPh>
    <rPh sb="12" eb="14">
      <t>ソウショク</t>
    </rPh>
    <phoneticPr fontId="1"/>
  </si>
  <si>
    <t>ブーケスタンド</t>
    <phoneticPr fontId="1"/>
  </si>
  <si>
    <t>作業備品</t>
    <rPh sb="0" eb="4">
      <t>サギョウビヒン</t>
    </rPh>
    <phoneticPr fontId="1"/>
  </si>
  <si>
    <t>（Laule’a レンタル）</t>
    <phoneticPr fontId="1"/>
  </si>
  <si>
    <t>追加必要物</t>
    <rPh sb="0" eb="2">
      <t>ツイカ</t>
    </rPh>
    <rPh sb="2" eb="4">
      <t>ヒツヨウ</t>
    </rPh>
    <rPh sb="4" eb="5">
      <t>ブツ</t>
    </rPh>
    <phoneticPr fontId="1"/>
  </si>
  <si>
    <t>高砂テーブル</t>
    <rPh sb="0" eb="2">
      <t>タカサゴ</t>
    </rPh>
    <phoneticPr fontId="1"/>
  </si>
  <si>
    <t>高砂デコレーション</t>
    <rPh sb="0" eb="2">
      <t>タカサゴ</t>
    </rPh>
    <phoneticPr fontId="1"/>
  </si>
  <si>
    <t>（テーブルレンタル？テーブルクロス？</t>
    <phoneticPr fontId="1"/>
  </si>
  <si>
    <t>装花</t>
    <rPh sb="0" eb="1">
      <t>ソウ</t>
    </rPh>
    <rPh sb="1" eb="2">
      <t>ハナ</t>
    </rPh>
    <phoneticPr fontId="1"/>
  </si>
  <si>
    <t>キャンドル</t>
    <phoneticPr fontId="1"/>
  </si>
  <si>
    <t>どのようなデコレーションを希望か？</t>
    <rPh sb="13" eb="15">
      <t>キボウ</t>
    </rPh>
    <phoneticPr fontId="1"/>
  </si>
  <si>
    <t>高砂を作る場合は予算が足りない</t>
    <rPh sb="0" eb="2">
      <t>タカサゴ</t>
    </rPh>
    <rPh sb="3" eb="4">
      <t>ツク</t>
    </rPh>
    <rPh sb="5" eb="7">
      <t>バアイ</t>
    </rPh>
    <rPh sb="8" eb="10">
      <t>ヨサン</t>
    </rPh>
    <rPh sb="11" eb="12">
      <t>タ</t>
    </rPh>
    <phoneticPr fontId="1"/>
  </si>
  <si>
    <t>現段階でも花の金額が両サイド設置の場合足りない</t>
    <rPh sb="0" eb="3">
      <t>ゲンダンカイ</t>
    </rPh>
    <rPh sb="5" eb="6">
      <t>ハナ</t>
    </rPh>
    <rPh sb="7" eb="9">
      <t>キンガク</t>
    </rPh>
    <rPh sb="10" eb="11">
      <t>リョウ</t>
    </rPh>
    <rPh sb="14" eb="16">
      <t>セッチ</t>
    </rPh>
    <rPh sb="17" eb="19">
      <t>バアイ</t>
    </rPh>
    <rPh sb="19" eb="20">
      <t>タ</t>
    </rPh>
    <phoneticPr fontId="1"/>
  </si>
  <si>
    <t>確認事項</t>
    <rPh sb="0" eb="2">
      <t>カクニン</t>
    </rPh>
    <rPh sb="2" eb="4">
      <t>ジコウ</t>
    </rPh>
    <phoneticPr fontId="1"/>
  </si>
  <si>
    <t>ビュッフェ台のデコレーションも別途請求</t>
    <rPh sb="5" eb="6">
      <t>ダイ</t>
    </rPh>
    <rPh sb="15" eb="17">
      <t>ベット</t>
    </rPh>
    <rPh sb="17" eb="19">
      <t>セイキュウ</t>
    </rPh>
    <phoneticPr fontId="1"/>
  </si>
  <si>
    <t>司会スピーチのテーブルに椅子は必要か？</t>
    <rPh sb="0" eb="2">
      <t>シカイ</t>
    </rPh>
    <rPh sb="12" eb="14">
      <t>イス</t>
    </rPh>
    <rPh sb="15" eb="17">
      <t>ヒツヨウ</t>
    </rPh>
    <phoneticPr fontId="1"/>
  </si>
  <si>
    <t>椅子は写真のようにハイチェア利用か？</t>
    <rPh sb="0" eb="2">
      <t>イス</t>
    </rPh>
    <rPh sb="3" eb="5">
      <t>シャシン</t>
    </rPh>
    <rPh sb="14" eb="16">
      <t>リヨウ</t>
    </rPh>
    <phoneticPr fontId="1"/>
  </si>
  <si>
    <t>ユーカリガーラントとテーブルセンター</t>
    <phoneticPr fontId="1"/>
  </si>
  <si>
    <t>基本料金３００００円</t>
    <rPh sb="0" eb="4">
      <t>キホンリョウキン</t>
    </rPh>
    <rPh sb="9" eb="10">
      <t>エン</t>
    </rPh>
    <phoneticPr fontId="1"/>
  </si>
  <si>
    <t>デコ箇所が多いのでもう一人または前日入りでスタッフ追加</t>
    <rPh sb="2" eb="4">
      <t>カショ</t>
    </rPh>
    <rPh sb="5" eb="6">
      <t>オオ</t>
    </rPh>
    <rPh sb="11" eb="13">
      <t>ヒトリ</t>
    </rPh>
    <rPh sb="16" eb="18">
      <t>ゼンジツ</t>
    </rPh>
    <rPh sb="18" eb="19">
      <t>イ</t>
    </rPh>
    <rPh sb="25" eb="27">
      <t>ツイカ</t>
    </rPh>
    <phoneticPr fontId="1"/>
  </si>
  <si>
    <t>人件費２８０００円（１４０００）</t>
    <rPh sb="0" eb="3">
      <t>ジンケンヒ</t>
    </rPh>
    <rPh sb="8" eb="9">
      <t>エン</t>
    </rPh>
    <phoneticPr fontId="1"/>
  </si>
  <si>
    <t>なし</t>
    <phoneticPr fontId="1"/>
  </si>
  <si>
    <t>提案</t>
    <rPh sb="0" eb="2">
      <t>テイアン</t>
    </rPh>
    <phoneticPr fontId="1"/>
  </si>
  <si>
    <t>テーブル４列で計算し直し</t>
    <rPh sb="5" eb="6">
      <t>レツ</t>
    </rPh>
    <rPh sb="7" eb="9">
      <t>ケイサン</t>
    </rPh>
    <rPh sb="10" eb="11">
      <t>ナオ</t>
    </rPh>
    <phoneticPr fontId="1"/>
  </si>
  <si>
    <t>１列１M80を３本必要</t>
    <rPh sb="1" eb="2">
      <t>レツ</t>
    </rPh>
    <rPh sb="8" eb="9">
      <t>ボン</t>
    </rPh>
    <rPh sb="9" eb="11">
      <t>ヒツヨウ</t>
    </rPh>
    <phoneticPr fontId="1"/>
  </si>
  <si>
    <t>R.Green7本あり</t>
    <rPh sb="8" eb="9">
      <t>ホン</t>
    </rPh>
    <phoneticPr fontId="1"/>
  </si>
  <si>
    <t>各テーブル２つ・列で４つ</t>
    <rPh sb="0" eb="1">
      <t>カク</t>
    </rPh>
    <rPh sb="8" eb="9">
      <t>レツ</t>
    </rPh>
    <phoneticPr fontId="1"/>
  </si>
  <si>
    <t>1m20毎に１個　列で３個</t>
    <rPh sb="4" eb="5">
      <t>ゴト</t>
    </rPh>
    <rPh sb="7" eb="8">
      <t>コ</t>
    </rPh>
    <rPh sb="9" eb="10">
      <t>レツ</t>
    </rPh>
    <rPh sb="12" eb="13">
      <t>コ</t>
    </rPh>
    <phoneticPr fontId="1"/>
  </si>
  <si>
    <t>別色でも可愛いかも？白やモスピンクなど</t>
    <rPh sb="0" eb="1">
      <t>ベツ</t>
    </rPh>
    <rPh sb="1" eb="2">
      <t>イロ</t>
    </rPh>
    <rPh sb="4" eb="6">
      <t>カワイ</t>
    </rPh>
    <rPh sb="10" eb="11">
      <t>シロ</t>
    </rPh>
    <phoneticPr fontId="1"/>
  </si>
  <si>
    <t>花の量や利用するオアシスなどの金額を控えるのに１台</t>
    <rPh sb="0" eb="1">
      <t>ハナ</t>
    </rPh>
    <rPh sb="2" eb="3">
      <t>リョウ</t>
    </rPh>
    <rPh sb="4" eb="6">
      <t>リヨウ</t>
    </rPh>
    <rPh sb="15" eb="17">
      <t>キンガク</t>
    </rPh>
    <rPh sb="18" eb="19">
      <t>ヒカ</t>
    </rPh>
    <rPh sb="24" eb="25">
      <t>ダイ</t>
    </rPh>
    <phoneticPr fontId="1"/>
  </si>
  <si>
    <t>パンパスレンタル</t>
    <phoneticPr fontId="1"/>
  </si>
  <si>
    <t>パンパスだけだとボリュームないので白い花も入れて１台の花にする</t>
    <rPh sb="17" eb="18">
      <t>シロ</t>
    </rPh>
    <rPh sb="19" eb="20">
      <t>ハナ</t>
    </rPh>
    <rPh sb="21" eb="22">
      <t>イ</t>
    </rPh>
    <rPh sb="25" eb="26">
      <t>ダイ</t>
    </rPh>
    <rPh sb="27" eb="28">
      <t>ハナ</t>
    </rPh>
    <phoneticPr fontId="1"/>
  </si>
  <si>
    <t>マクラメタペストリー（1M80）</t>
    <phoneticPr fontId="1"/>
  </si>
  <si>
    <t>購入物</t>
    <rPh sb="0" eb="2">
      <t>コウニュウ</t>
    </rPh>
    <rPh sb="2" eb="3">
      <t>ブツ</t>
    </rPh>
    <phoneticPr fontId="1"/>
  </si>
  <si>
    <t>Laule’aレンタル</t>
    <phoneticPr fontId="1"/>
  </si>
  <si>
    <t>テーブルセンター/購入</t>
    <rPh sb="9" eb="11">
      <t>コウニュウ</t>
    </rPh>
    <phoneticPr fontId="1"/>
  </si>
  <si>
    <t>（テント内装飾）</t>
    <rPh sb="4" eb="5">
      <t>ナイ</t>
    </rPh>
    <rPh sb="5" eb="7">
      <t>ソウショク</t>
    </rPh>
    <phoneticPr fontId="1"/>
  </si>
  <si>
    <t>生花または造花(お二人のテーブル）</t>
    <rPh sb="0" eb="2">
      <t>セイカ</t>
    </rPh>
    <rPh sb="5" eb="7">
      <t>ゾウカ</t>
    </rPh>
    <rPh sb="9" eb="11">
      <t>フタリ</t>
    </rPh>
    <phoneticPr fontId="1"/>
  </si>
  <si>
    <t>人件費３５０００円（前々日またはスタッフ一人短時間）</t>
    <rPh sb="0" eb="3">
      <t>ジンケンヒ</t>
    </rPh>
    <rPh sb="8" eb="9">
      <t>エン</t>
    </rPh>
    <rPh sb="10" eb="13">
      <t>ゼンゼンジツ</t>
    </rPh>
    <rPh sb="20" eb="22">
      <t>ヒトリ</t>
    </rPh>
    <rPh sb="22" eb="25">
      <t>タンジカン</t>
    </rPh>
    <phoneticPr fontId="1"/>
  </si>
  <si>
    <t>合計</t>
    <rPh sb="0" eb="2">
      <t>ゴウケイ</t>
    </rPh>
    <phoneticPr fontId="1"/>
  </si>
  <si>
    <t>造花レンタル（白の花 各種）</t>
    <rPh sb="0" eb="2">
      <t>ゾウカ</t>
    </rPh>
    <rPh sb="7" eb="8">
      <t>シロ</t>
    </rPh>
    <rPh sb="9" eb="10">
      <t>ハナ</t>
    </rPh>
    <rPh sb="11" eb="13">
      <t>カクシュ</t>
    </rPh>
    <phoneticPr fontId="1"/>
  </si>
  <si>
    <t>ユーカリガーラント（レンタル）</t>
    <phoneticPr fontId="1"/>
  </si>
  <si>
    <t>テーブル列増えてるので置く量も増えます</t>
    <rPh sb="4" eb="5">
      <t>レツ</t>
    </rPh>
    <rPh sb="5" eb="6">
      <t>フ</t>
    </rPh>
    <rPh sb="11" eb="12">
      <t>オ</t>
    </rPh>
    <rPh sb="13" eb="14">
      <t>リョウ</t>
    </rPh>
    <rPh sb="15" eb="16">
      <t>フ</t>
    </rPh>
    <phoneticPr fontId="1"/>
  </si>
  <si>
    <t>メインテーブルを作るならハイチェアとハイテーブルが良いのでは？</t>
    <rPh sb="8" eb="9">
      <t>ツク</t>
    </rPh>
    <rPh sb="25" eb="26">
      <t>ヨ</t>
    </rPh>
    <phoneticPr fontId="1"/>
  </si>
  <si>
    <t>追加デコレーション</t>
    <rPh sb="0" eb="2">
      <t>ツイカ</t>
    </rPh>
    <phoneticPr fontId="1"/>
  </si>
  <si>
    <t>挙式会場・パーティー会場のパンパスと花は両会場で利用する</t>
    <rPh sb="0" eb="2">
      <t>キョシキ</t>
    </rPh>
    <rPh sb="2" eb="4">
      <t>カイジョウ</t>
    </rPh>
    <rPh sb="10" eb="12">
      <t>カイジョウ</t>
    </rPh>
    <rPh sb="18" eb="19">
      <t>ハナ</t>
    </rPh>
    <rPh sb="20" eb="21">
      <t>リョウ</t>
    </rPh>
    <rPh sb="21" eb="23">
      <t>カイジョウ</t>
    </rPh>
    <rPh sb="24" eb="26">
      <t>リヨウ</t>
    </rPh>
    <phoneticPr fontId="1"/>
  </si>
  <si>
    <t>メインテーブル回り装飾（マクラメ・パンパスと花はLaule’aからレンタルで予算削減）</t>
    <rPh sb="7" eb="8">
      <t>マワ</t>
    </rPh>
    <rPh sb="9" eb="11">
      <t>ソウショク</t>
    </rPh>
    <rPh sb="22" eb="23">
      <t>ハナ</t>
    </rPh>
    <rPh sb="38" eb="40">
      <t>ヨサン</t>
    </rPh>
    <rPh sb="40" eb="42">
      <t>サクゲン</t>
    </rPh>
    <phoneticPr fontId="1"/>
  </si>
  <si>
    <t>高砂を作る場合は予算が足りない　１５万→１８万</t>
    <rPh sb="0" eb="2">
      <t>タカサゴ</t>
    </rPh>
    <rPh sb="3" eb="4">
      <t>ツク</t>
    </rPh>
    <rPh sb="5" eb="7">
      <t>バアイ</t>
    </rPh>
    <rPh sb="8" eb="10">
      <t>ヨサン</t>
    </rPh>
    <rPh sb="11" eb="12">
      <t>タ</t>
    </rPh>
    <rPh sb="18" eb="19">
      <t>マン</t>
    </rPh>
    <rPh sb="22" eb="23">
      <t>マン</t>
    </rPh>
    <phoneticPr fontId="1"/>
  </si>
  <si>
    <t>ビュッフェテーブルの装飾はなし　決定</t>
    <rPh sb="10" eb="12">
      <t>ソウショク</t>
    </rPh>
    <rPh sb="16" eb="18">
      <t>ケッテイ</t>
    </rPh>
    <phoneticPr fontId="1"/>
  </si>
  <si>
    <t>デコ箇所が多いのでもう一人または前日入りでスタッフ追加（なるべく短時間にして合計３５０００円</t>
    <rPh sb="2" eb="4">
      <t>カショ</t>
    </rPh>
    <rPh sb="5" eb="6">
      <t>オオ</t>
    </rPh>
    <rPh sb="11" eb="13">
      <t>ヒトリ</t>
    </rPh>
    <rPh sb="16" eb="18">
      <t>ゼンジツ</t>
    </rPh>
    <rPh sb="18" eb="19">
      <t>イ</t>
    </rPh>
    <rPh sb="25" eb="27">
      <t>ツイカ</t>
    </rPh>
    <rPh sb="32" eb="35">
      <t>タンジカン</t>
    </rPh>
    <rPh sb="38" eb="40">
      <t>ゴウケイ</t>
    </rPh>
    <rPh sb="45" eb="46">
      <t>エン</t>
    </rPh>
    <phoneticPr fontId="1"/>
  </si>
  <si>
    <t>布ナプキンとおしぼり　レイクハウス様へ提供の有無確認</t>
    <rPh sb="0" eb="1">
      <t>ヌノ</t>
    </rPh>
    <rPh sb="17" eb="18">
      <t>サマ</t>
    </rPh>
    <rPh sb="19" eb="21">
      <t>テイキョウ</t>
    </rPh>
    <rPh sb="22" eb="24">
      <t>ウム</t>
    </rPh>
    <rPh sb="24" eb="26">
      <t>カクニン</t>
    </rPh>
    <phoneticPr fontId="1"/>
  </si>
  <si>
    <t>テーブルセンター緑と白など列ごとに違う色で対応すると予算抑（４列分のセンターが足りない）</t>
    <rPh sb="8" eb="9">
      <t>ミドリ</t>
    </rPh>
    <rPh sb="10" eb="11">
      <t>シロ</t>
    </rPh>
    <rPh sb="13" eb="14">
      <t>レツ</t>
    </rPh>
    <rPh sb="17" eb="18">
      <t>チガ</t>
    </rPh>
    <rPh sb="19" eb="20">
      <t>イロ</t>
    </rPh>
    <rPh sb="21" eb="23">
      <t>タイオウ</t>
    </rPh>
    <rPh sb="26" eb="28">
      <t>ヨサン</t>
    </rPh>
    <rPh sb="28" eb="29">
      <t>ヨク</t>
    </rPh>
    <rPh sb="31" eb="32">
      <t>レツ</t>
    </rPh>
    <rPh sb="32" eb="33">
      <t>ブン</t>
    </rPh>
    <rPh sb="39" eb="40">
      <t>タ</t>
    </rPh>
    <phoneticPr fontId="1"/>
  </si>
  <si>
    <t>ゲスト受付のテーブルは必要なのか？またデコレーション必要か？</t>
    <rPh sb="3" eb="5">
      <t>ウケツケ</t>
    </rPh>
    <rPh sb="11" eb="13">
      <t>ヒツヨウ</t>
    </rPh>
    <rPh sb="26" eb="28">
      <t>ヒツヨウ</t>
    </rPh>
    <phoneticPr fontId="1"/>
  </si>
  <si>
    <t>ライトの有無（パーティー時間などにより必要であれば別途準備）</t>
    <rPh sb="4" eb="6">
      <t>ウム</t>
    </rPh>
    <rPh sb="12" eb="14">
      <t>ジカン</t>
    </rPh>
    <rPh sb="19" eb="21">
      <t>ヒツヨウ</t>
    </rPh>
    <rPh sb="25" eb="27">
      <t>ベット</t>
    </rPh>
    <rPh sb="27" eb="29">
      <t>ジュンビ</t>
    </rPh>
    <phoneticPr fontId="1"/>
  </si>
  <si>
    <t>お二人のメインテーブル・椅子２脚</t>
    <rPh sb="1" eb="3">
      <t>フタリ</t>
    </rPh>
    <rPh sb="12" eb="14">
      <t>イス</t>
    </rPh>
    <rPh sb="15" eb="16">
      <t>キャク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</si>
</sst>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3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5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4" borderId="5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6" borderId="0" xfId="0" applyFill="1">
      <alignment vertical="center"/>
    </xf>
    <xf numFmtId="0" fontId="5" fillId="4" borderId="0" xfId="0" applyFont="1" applyFill="1">
      <alignment vertical="center"/>
    </xf>
    <xf numFmtId="0" fontId="4" fillId="0" borderId="6" xfId="0" applyFont="1" applyBorder="1">
      <alignment vertical="center"/>
    </xf>
    <xf numFmtId="0" fontId="0" fillId="6" borderId="5" xfId="0" applyFill="1" applyBorder="1">
      <alignment vertical="center"/>
    </xf>
    <xf numFmtId="0" fontId="0" fillId="5" borderId="1" xfId="0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4155-D086-44D1-88C4-7BADA6809391}">
  <dimension ref="A1:H36"/>
  <sheetViews>
    <sheetView topLeftCell="A2" workbookViewId="0">
      <selection activeCell="C17" sqref="C17"/>
    </sheetView>
  </sheetViews>
  <sheetFormatPr defaultRowHeight="18.75" x14ac:dyDescent="0.4"/>
  <cols>
    <col min="1" max="1" width="38.25" customWidth="1"/>
    <col min="2" max="2" width="9.75" customWidth="1"/>
    <col min="5" max="5" width="41.75" customWidth="1"/>
    <col min="7" max="7" width="53.125" customWidth="1"/>
  </cols>
  <sheetData>
    <row r="1" spans="1:8" ht="30.75" thickBot="1" x14ac:dyDescent="0.45">
      <c r="A1" s="2" t="s">
        <v>0</v>
      </c>
      <c r="E1" t="s">
        <v>52</v>
      </c>
      <c r="G1" s="1" t="s">
        <v>33</v>
      </c>
    </row>
    <row r="2" spans="1:8" x14ac:dyDescent="0.4">
      <c r="A2" s="4" t="s">
        <v>1</v>
      </c>
      <c r="B2" s="5"/>
      <c r="C2" s="5"/>
      <c r="D2" s="5"/>
      <c r="E2" s="6"/>
      <c r="G2" t="s">
        <v>34</v>
      </c>
    </row>
    <row r="3" spans="1:8" x14ac:dyDescent="0.4">
      <c r="A3" s="7" t="s">
        <v>3</v>
      </c>
      <c r="B3" s="3" t="s">
        <v>4</v>
      </c>
      <c r="C3" s="3" t="s">
        <v>5</v>
      </c>
      <c r="D3" s="3" t="s">
        <v>6</v>
      </c>
      <c r="E3" s="8" t="s">
        <v>7</v>
      </c>
      <c r="G3" t="s">
        <v>35</v>
      </c>
    </row>
    <row r="4" spans="1:8" x14ac:dyDescent="0.4">
      <c r="A4" s="7" t="s">
        <v>2</v>
      </c>
      <c r="B4" s="3">
        <v>700</v>
      </c>
      <c r="C4" s="3">
        <v>12</v>
      </c>
      <c r="D4" s="3">
        <f>SUM(B4*C4)</f>
        <v>8400</v>
      </c>
      <c r="E4" s="8" t="s">
        <v>53</v>
      </c>
      <c r="G4" t="s">
        <v>36</v>
      </c>
    </row>
    <row r="5" spans="1:8" x14ac:dyDescent="0.4">
      <c r="A5" s="7" t="s">
        <v>9</v>
      </c>
      <c r="B5" s="3">
        <v>1500</v>
      </c>
      <c r="C5" s="3">
        <v>12</v>
      </c>
      <c r="D5" s="3">
        <f t="shared" ref="D5:D31" si="0">SUM(B5*C5)</f>
        <v>18000</v>
      </c>
      <c r="E5" s="8" t="s">
        <v>8</v>
      </c>
      <c r="G5" t="s">
        <v>2</v>
      </c>
    </row>
    <row r="6" spans="1:8" x14ac:dyDescent="0.4">
      <c r="A6" s="7" t="s">
        <v>13</v>
      </c>
      <c r="B6" s="3">
        <v>1500</v>
      </c>
      <c r="C6" s="3">
        <v>1</v>
      </c>
      <c r="D6" s="3">
        <f t="shared" si="0"/>
        <v>1500</v>
      </c>
      <c r="E6" s="8"/>
      <c r="G6" t="s">
        <v>37</v>
      </c>
    </row>
    <row r="7" spans="1:8" x14ac:dyDescent="0.4">
      <c r="A7" s="7" t="s">
        <v>14</v>
      </c>
      <c r="B7" s="3">
        <v>799</v>
      </c>
      <c r="C7" s="3">
        <v>4</v>
      </c>
      <c r="D7" s="3">
        <f t="shared" si="0"/>
        <v>3196</v>
      </c>
      <c r="E7" s="8"/>
      <c r="G7" t="s">
        <v>38</v>
      </c>
    </row>
    <row r="8" spans="1:8" x14ac:dyDescent="0.4">
      <c r="A8" s="7" t="s">
        <v>15</v>
      </c>
      <c r="B8" s="3">
        <v>1000</v>
      </c>
      <c r="C8" s="3">
        <v>2</v>
      </c>
      <c r="D8" s="3">
        <f t="shared" si="0"/>
        <v>2000</v>
      </c>
      <c r="E8" s="8"/>
      <c r="G8" s="1" t="s">
        <v>42</v>
      </c>
    </row>
    <row r="9" spans="1:8" x14ac:dyDescent="0.4">
      <c r="A9" s="7" t="s">
        <v>22</v>
      </c>
      <c r="B9" s="3">
        <v>1500</v>
      </c>
      <c r="C9" s="3">
        <v>12</v>
      </c>
      <c r="D9" s="3">
        <f t="shared" si="0"/>
        <v>18000</v>
      </c>
      <c r="E9" s="8"/>
      <c r="G9" t="s">
        <v>39</v>
      </c>
    </row>
    <row r="10" spans="1:8" x14ac:dyDescent="0.4">
      <c r="A10" s="7" t="s">
        <v>24</v>
      </c>
      <c r="B10" s="3">
        <v>2000</v>
      </c>
      <c r="C10" s="3">
        <v>2</v>
      </c>
      <c r="D10" s="3">
        <f t="shared" si="0"/>
        <v>4000</v>
      </c>
      <c r="E10" s="8"/>
      <c r="G10" t="s">
        <v>40</v>
      </c>
    </row>
    <row r="11" spans="1:8" x14ac:dyDescent="0.4">
      <c r="A11" s="7" t="s">
        <v>21</v>
      </c>
      <c r="B11" s="3">
        <v>3000</v>
      </c>
      <c r="C11" s="3">
        <v>1</v>
      </c>
      <c r="D11" s="3">
        <f t="shared" ref="D11" si="1">SUM(B11*C11)</f>
        <v>3000</v>
      </c>
      <c r="E11" s="8"/>
      <c r="G11" t="s">
        <v>41</v>
      </c>
    </row>
    <row r="12" spans="1:8" x14ac:dyDescent="0.4">
      <c r="A12" s="7"/>
      <c r="B12" s="3"/>
      <c r="C12" s="3"/>
      <c r="D12" s="3"/>
      <c r="E12" s="8"/>
      <c r="G12" t="s">
        <v>43</v>
      </c>
      <c r="H12" t="s">
        <v>50</v>
      </c>
    </row>
    <row r="13" spans="1:8" x14ac:dyDescent="0.4">
      <c r="A13" s="13" t="s">
        <v>32</v>
      </c>
      <c r="B13" s="3"/>
      <c r="C13" s="3"/>
      <c r="D13" s="3"/>
      <c r="E13" s="8"/>
      <c r="G13" t="s">
        <v>44</v>
      </c>
    </row>
    <row r="14" spans="1:8" x14ac:dyDescent="0.4">
      <c r="A14" s="7" t="s">
        <v>20</v>
      </c>
      <c r="B14" s="3">
        <v>150</v>
      </c>
      <c r="C14" s="3">
        <v>6</v>
      </c>
      <c r="D14" s="3">
        <f t="shared" si="0"/>
        <v>900</v>
      </c>
      <c r="E14" s="8"/>
      <c r="G14" t="s">
        <v>45</v>
      </c>
    </row>
    <row r="15" spans="1:8" x14ac:dyDescent="0.4">
      <c r="A15" s="7" t="s">
        <v>19</v>
      </c>
      <c r="B15" s="3">
        <v>200</v>
      </c>
      <c r="C15" s="3">
        <v>16</v>
      </c>
      <c r="D15" s="3">
        <f t="shared" si="0"/>
        <v>3200</v>
      </c>
      <c r="E15" s="8"/>
      <c r="G15" t="s">
        <v>46</v>
      </c>
    </row>
    <row r="16" spans="1:8" x14ac:dyDescent="0.4">
      <c r="A16" s="7" t="s">
        <v>18</v>
      </c>
      <c r="B16" s="3">
        <v>100</v>
      </c>
      <c r="C16" s="3">
        <v>12</v>
      </c>
      <c r="D16" s="3">
        <f t="shared" si="0"/>
        <v>1200</v>
      </c>
      <c r="E16" s="8"/>
      <c r="G16" t="s">
        <v>48</v>
      </c>
    </row>
    <row r="17" spans="1:5" x14ac:dyDescent="0.4">
      <c r="A17" s="7" t="s">
        <v>17</v>
      </c>
      <c r="B17" s="3">
        <v>150</v>
      </c>
      <c r="C17" s="3">
        <v>12</v>
      </c>
      <c r="D17" s="3">
        <f t="shared" si="0"/>
        <v>1800</v>
      </c>
      <c r="E17" s="8"/>
    </row>
    <row r="18" spans="1:5" x14ac:dyDescent="0.4">
      <c r="A18" s="7" t="s">
        <v>16</v>
      </c>
      <c r="B18" s="3">
        <v>200</v>
      </c>
      <c r="C18" s="3">
        <v>12</v>
      </c>
      <c r="D18" s="3">
        <f t="shared" ref="D18" si="2">SUM(B18*C18)</f>
        <v>2400</v>
      </c>
      <c r="E18" s="8"/>
    </row>
    <row r="19" spans="1:5" x14ac:dyDescent="0.4">
      <c r="A19" s="7" t="s">
        <v>10</v>
      </c>
      <c r="B19" s="3">
        <v>200</v>
      </c>
      <c r="C19" s="3">
        <v>18</v>
      </c>
      <c r="D19" s="3">
        <f t="shared" ref="D19:D21" si="3">SUM(B19*C19)</f>
        <v>3600</v>
      </c>
      <c r="E19" s="8"/>
    </row>
    <row r="20" spans="1:5" x14ac:dyDescent="0.4">
      <c r="A20" s="7" t="s">
        <v>11</v>
      </c>
      <c r="B20" s="3">
        <v>200</v>
      </c>
      <c r="C20" s="3">
        <v>18</v>
      </c>
      <c r="D20" s="3">
        <f t="shared" si="3"/>
        <v>3600</v>
      </c>
      <c r="E20" s="8"/>
    </row>
    <row r="21" spans="1:5" x14ac:dyDescent="0.4">
      <c r="A21" s="7" t="s">
        <v>12</v>
      </c>
      <c r="B21" s="3">
        <v>200</v>
      </c>
      <c r="C21" s="3">
        <v>12</v>
      </c>
      <c r="D21" s="3">
        <f t="shared" si="3"/>
        <v>2400</v>
      </c>
      <c r="E21" s="8"/>
    </row>
    <row r="22" spans="1:5" x14ac:dyDescent="0.4">
      <c r="A22" s="7" t="s">
        <v>23</v>
      </c>
      <c r="B22" s="3">
        <v>500</v>
      </c>
      <c r="C22" s="3">
        <v>2</v>
      </c>
      <c r="D22" s="3">
        <f t="shared" si="0"/>
        <v>1000</v>
      </c>
      <c r="E22" s="8"/>
    </row>
    <row r="23" spans="1:5" x14ac:dyDescent="0.4">
      <c r="A23" s="7"/>
      <c r="B23" s="3"/>
      <c r="C23" s="3"/>
      <c r="D23" s="3"/>
      <c r="E23" s="8"/>
    </row>
    <row r="24" spans="1:5" x14ac:dyDescent="0.4">
      <c r="A24" s="9" t="s">
        <v>25</v>
      </c>
      <c r="B24" s="3"/>
      <c r="C24" s="3"/>
      <c r="D24" s="3"/>
      <c r="E24" s="8"/>
    </row>
    <row r="25" spans="1:5" x14ac:dyDescent="0.4">
      <c r="A25" s="7" t="s">
        <v>26</v>
      </c>
      <c r="B25" s="3">
        <v>2500</v>
      </c>
      <c r="C25" s="3">
        <v>2</v>
      </c>
      <c r="D25" s="3">
        <f t="shared" si="0"/>
        <v>5000</v>
      </c>
      <c r="E25" s="8"/>
    </row>
    <row r="26" spans="1:5" x14ac:dyDescent="0.4">
      <c r="A26" s="7" t="s">
        <v>27</v>
      </c>
      <c r="B26" s="3">
        <v>5000</v>
      </c>
      <c r="C26" s="3">
        <v>1</v>
      </c>
      <c r="D26" s="3">
        <f t="shared" si="0"/>
        <v>5000</v>
      </c>
      <c r="E26" s="8"/>
    </row>
    <row r="27" spans="1:5" x14ac:dyDescent="0.4">
      <c r="A27" s="7" t="s">
        <v>22</v>
      </c>
      <c r="B27" s="3">
        <v>12000</v>
      </c>
      <c r="C27" s="3">
        <v>1</v>
      </c>
      <c r="D27" s="3">
        <f t="shared" si="0"/>
        <v>12000</v>
      </c>
      <c r="E27" s="8"/>
    </row>
    <row r="28" spans="1:5" x14ac:dyDescent="0.4">
      <c r="A28" s="7" t="s">
        <v>28</v>
      </c>
      <c r="B28" s="3">
        <v>4000</v>
      </c>
      <c r="C28" s="3">
        <v>1</v>
      </c>
      <c r="D28" s="3">
        <f t="shared" si="0"/>
        <v>4000</v>
      </c>
      <c r="E28" s="8"/>
    </row>
    <row r="29" spans="1:5" x14ac:dyDescent="0.4">
      <c r="A29" s="7" t="s">
        <v>29</v>
      </c>
      <c r="B29" s="3">
        <v>5000</v>
      </c>
      <c r="C29" s="3">
        <v>1</v>
      </c>
      <c r="D29" s="3">
        <f t="shared" si="0"/>
        <v>5000</v>
      </c>
      <c r="E29" s="8"/>
    </row>
    <row r="30" spans="1:5" x14ac:dyDescent="0.4">
      <c r="A30" s="7" t="s">
        <v>30</v>
      </c>
      <c r="B30" s="3">
        <v>1000</v>
      </c>
      <c r="C30" s="3">
        <v>1</v>
      </c>
      <c r="D30" s="3">
        <f t="shared" si="0"/>
        <v>1000</v>
      </c>
      <c r="E30" s="8"/>
    </row>
    <row r="31" spans="1:5" x14ac:dyDescent="0.4">
      <c r="A31" s="7" t="s">
        <v>31</v>
      </c>
      <c r="B31" s="3">
        <v>5000</v>
      </c>
      <c r="C31" s="3">
        <v>1</v>
      </c>
      <c r="D31" s="3">
        <f t="shared" si="0"/>
        <v>5000</v>
      </c>
      <c r="E31" s="8"/>
    </row>
    <row r="32" spans="1:5" x14ac:dyDescent="0.4">
      <c r="A32" s="7"/>
      <c r="B32" s="3"/>
      <c r="C32" s="3"/>
      <c r="D32" s="3"/>
      <c r="E32" s="8"/>
    </row>
    <row r="33" spans="1:6" ht="19.5" thickBot="1" x14ac:dyDescent="0.45">
      <c r="A33" s="10"/>
      <c r="B33" s="11"/>
      <c r="C33" s="11"/>
      <c r="D33" s="11">
        <f>SUM(D4:D32)</f>
        <v>115196</v>
      </c>
      <c r="E33" s="12"/>
    </row>
    <row r="35" spans="1:6" x14ac:dyDescent="0.4">
      <c r="E35" t="s">
        <v>47</v>
      </c>
      <c r="F35">
        <v>58000</v>
      </c>
    </row>
    <row r="36" spans="1:6" x14ac:dyDescent="0.4">
      <c r="E36" t="s">
        <v>49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A5D5-9D6C-4FEC-85A1-0E1956440E01}">
  <dimension ref="A1:G44"/>
  <sheetViews>
    <sheetView tabSelected="1" workbookViewId="0">
      <selection activeCell="G2" sqref="G2"/>
    </sheetView>
  </sheetViews>
  <sheetFormatPr defaultRowHeight="18.75" x14ac:dyDescent="0.4"/>
  <cols>
    <col min="1" max="1" width="38.25" customWidth="1"/>
    <col min="2" max="2" width="9.75" customWidth="1"/>
    <col min="5" max="5" width="52.25" customWidth="1"/>
    <col min="7" max="7" width="79.25" customWidth="1"/>
  </cols>
  <sheetData>
    <row r="1" spans="1:7" ht="30.75" thickBot="1" x14ac:dyDescent="0.45">
      <c r="A1" s="2" t="s">
        <v>0</v>
      </c>
      <c r="C1" s="17" t="s">
        <v>62</v>
      </c>
      <c r="D1" s="18" t="s">
        <v>63</v>
      </c>
      <c r="G1" s="1" t="s">
        <v>73</v>
      </c>
    </row>
    <row r="2" spans="1:7" x14ac:dyDescent="0.4">
      <c r="A2" s="22" t="s">
        <v>65</v>
      </c>
      <c r="B2" s="5"/>
      <c r="C2" s="5"/>
      <c r="D2" s="5"/>
      <c r="E2" s="6"/>
      <c r="G2" t="s">
        <v>83</v>
      </c>
    </row>
    <row r="3" spans="1:7" x14ac:dyDescent="0.4">
      <c r="A3" s="7" t="s">
        <v>3</v>
      </c>
      <c r="B3" s="3" t="s">
        <v>4</v>
      </c>
      <c r="C3" s="3" t="s">
        <v>5</v>
      </c>
      <c r="D3" s="3" t="s">
        <v>6</v>
      </c>
      <c r="E3" s="8" t="s">
        <v>7</v>
      </c>
      <c r="G3" t="s">
        <v>75</v>
      </c>
    </row>
    <row r="4" spans="1:7" x14ac:dyDescent="0.4">
      <c r="A4" s="20" t="s">
        <v>64</v>
      </c>
      <c r="B4" s="3">
        <v>700</v>
      </c>
      <c r="C4" s="3">
        <v>6</v>
      </c>
      <c r="D4" s="3">
        <f>SUM(B4*C4)</f>
        <v>4200</v>
      </c>
      <c r="E4" s="8" t="s">
        <v>57</v>
      </c>
      <c r="G4" t="s">
        <v>74</v>
      </c>
    </row>
    <row r="5" spans="1:7" x14ac:dyDescent="0.4">
      <c r="A5" s="20" t="s">
        <v>9</v>
      </c>
      <c r="B5" s="3">
        <v>1500</v>
      </c>
      <c r="C5" s="3">
        <v>6</v>
      </c>
      <c r="D5" s="3">
        <f t="shared" ref="D5:D26" si="0">SUM(B5*C5)</f>
        <v>9000</v>
      </c>
      <c r="E5" s="8" t="s">
        <v>8</v>
      </c>
      <c r="G5" t="s">
        <v>77</v>
      </c>
    </row>
    <row r="6" spans="1:7" x14ac:dyDescent="0.4">
      <c r="A6" s="20" t="s">
        <v>13</v>
      </c>
      <c r="B6" s="3">
        <v>1500</v>
      </c>
      <c r="C6" s="3">
        <v>1</v>
      </c>
      <c r="D6" s="3">
        <f t="shared" si="0"/>
        <v>1500</v>
      </c>
      <c r="E6" s="8"/>
    </row>
    <row r="7" spans="1:7" x14ac:dyDescent="0.4">
      <c r="A7" s="20" t="s">
        <v>14</v>
      </c>
      <c r="B7" s="3">
        <v>799</v>
      </c>
      <c r="C7" s="3">
        <v>4</v>
      </c>
      <c r="D7" s="3">
        <f t="shared" si="0"/>
        <v>3196</v>
      </c>
      <c r="E7" s="8"/>
    </row>
    <row r="8" spans="1:7" x14ac:dyDescent="0.4">
      <c r="A8" s="20" t="s">
        <v>15</v>
      </c>
      <c r="B8" s="3">
        <v>1000</v>
      </c>
      <c r="C8" s="3">
        <v>2</v>
      </c>
      <c r="D8" s="3">
        <f t="shared" si="0"/>
        <v>2000</v>
      </c>
      <c r="E8" s="8"/>
      <c r="G8" s="1" t="s">
        <v>42</v>
      </c>
    </row>
    <row r="9" spans="1:7" x14ac:dyDescent="0.4">
      <c r="A9" s="20" t="s">
        <v>22</v>
      </c>
      <c r="B9" s="3">
        <v>1500</v>
      </c>
      <c r="C9" s="3">
        <v>16</v>
      </c>
      <c r="D9" s="3">
        <f t="shared" si="0"/>
        <v>24000</v>
      </c>
      <c r="E9" s="8"/>
      <c r="G9" t="s">
        <v>78</v>
      </c>
    </row>
    <row r="10" spans="1:7" x14ac:dyDescent="0.4">
      <c r="A10" s="20" t="s">
        <v>24</v>
      </c>
      <c r="B10" s="3">
        <v>2000</v>
      </c>
      <c r="C10" s="3">
        <v>2</v>
      </c>
      <c r="D10" s="3">
        <f t="shared" si="0"/>
        <v>4000</v>
      </c>
      <c r="E10" s="8"/>
      <c r="G10" t="s">
        <v>76</v>
      </c>
    </row>
    <row r="11" spans="1:7" x14ac:dyDescent="0.4">
      <c r="A11" s="20" t="s">
        <v>21</v>
      </c>
      <c r="B11" s="3">
        <v>5000</v>
      </c>
      <c r="C11" s="3">
        <v>1</v>
      </c>
      <c r="D11" s="3">
        <f t="shared" si="0"/>
        <v>5000</v>
      </c>
      <c r="E11" s="8" t="s">
        <v>71</v>
      </c>
      <c r="G11" t="s">
        <v>79</v>
      </c>
    </row>
    <row r="12" spans="1:7" x14ac:dyDescent="0.4">
      <c r="A12" s="20" t="s">
        <v>66</v>
      </c>
      <c r="B12" s="3">
        <v>5000</v>
      </c>
      <c r="C12" s="3">
        <v>1</v>
      </c>
      <c r="D12" s="3">
        <f>SUM(B12*C12)</f>
        <v>5000</v>
      </c>
      <c r="E12" s="8"/>
      <c r="G12" t="s">
        <v>81</v>
      </c>
    </row>
    <row r="13" spans="1:7" x14ac:dyDescent="0.4">
      <c r="A13" s="20" t="s">
        <v>28</v>
      </c>
      <c r="B13" s="3">
        <v>4000</v>
      </c>
      <c r="C13" s="3">
        <v>1</v>
      </c>
      <c r="D13" s="3">
        <f>SUM(B13*C13)</f>
        <v>4000</v>
      </c>
      <c r="E13" s="8"/>
      <c r="G13" t="s">
        <v>82</v>
      </c>
    </row>
    <row r="14" spans="1:7" x14ac:dyDescent="0.4">
      <c r="A14" s="20" t="s">
        <v>29</v>
      </c>
      <c r="B14" s="3">
        <v>5000</v>
      </c>
      <c r="C14" s="3">
        <v>1</v>
      </c>
      <c r="D14" s="3">
        <f>SUM(B14*C14)</f>
        <v>5000</v>
      </c>
      <c r="E14" s="8"/>
      <c r="G14" s="1" t="s">
        <v>51</v>
      </c>
    </row>
    <row r="15" spans="1:7" x14ac:dyDescent="0.4">
      <c r="A15" s="20" t="s">
        <v>31</v>
      </c>
      <c r="B15" s="3">
        <v>5000</v>
      </c>
      <c r="C15" s="3">
        <v>1</v>
      </c>
      <c r="D15" s="3">
        <f>SUM(B15*C15)</f>
        <v>5000</v>
      </c>
      <c r="E15" s="8"/>
      <c r="G15" t="s">
        <v>80</v>
      </c>
    </row>
    <row r="16" spans="1:7" x14ac:dyDescent="0.4">
      <c r="A16" s="7"/>
      <c r="B16" s="3"/>
      <c r="C16" s="3"/>
      <c r="D16" s="3"/>
      <c r="E16" s="8"/>
      <c r="G16" t="s">
        <v>60</v>
      </c>
    </row>
    <row r="17" spans="1:7" x14ac:dyDescent="0.4">
      <c r="A17" s="13" t="s">
        <v>2</v>
      </c>
      <c r="B17" s="3">
        <v>350</v>
      </c>
      <c r="C17" s="3">
        <v>6</v>
      </c>
      <c r="D17" s="3">
        <f>SUM(B17*C17)</f>
        <v>2100</v>
      </c>
      <c r="E17" s="8" t="s">
        <v>54</v>
      </c>
      <c r="G17" t="s">
        <v>72</v>
      </c>
    </row>
    <row r="18" spans="1:7" x14ac:dyDescent="0.4">
      <c r="A18" s="13" t="s">
        <v>20</v>
      </c>
      <c r="B18" s="3">
        <v>150</v>
      </c>
      <c r="C18" s="3">
        <v>8</v>
      </c>
      <c r="D18" s="3">
        <f t="shared" si="0"/>
        <v>1200</v>
      </c>
      <c r="E18" s="8"/>
    </row>
    <row r="19" spans="1:7" x14ac:dyDescent="0.4">
      <c r="A19" s="13" t="s">
        <v>19</v>
      </c>
      <c r="B19" s="21">
        <v>200</v>
      </c>
      <c r="C19" s="3">
        <v>16</v>
      </c>
      <c r="D19" s="3">
        <f t="shared" si="0"/>
        <v>3200</v>
      </c>
      <c r="E19" s="8" t="s">
        <v>55</v>
      </c>
    </row>
    <row r="20" spans="1:7" x14ac:dyDescent="0.4">
      <c r="A20" s="13" t="s">
        <v>18</v>
      </c>
      <c r="B20" s="3">
        <v>100</v>
      </c>
      <c r="C20" s="3">
        <v>12</v>
      </c>
      <c r="D20" s="3">
        <f t="shared" si="0"/>
        <v>1200</v>
      </c>
      <c r="E20" s="8" t="s">
        <v>56</v>
      </c>
    </row>
    <row r="21" spans="1:7" x14ac:dyDescent="0.4">
      <c r="A21" s="13" t="s">
        <v>17</v>
      </c>
      <c r="B21" s="3">
        <v>150</v>
      </c>
      <c r="C21" s="3">
        <v>12</v>
      </c>
      <c r="D21" s="3">
        <f t="shared" si="0"/>
        <v>1800</v>
      </c>
      <c r="E21" s="8"/>
    </row>
    <row r="22" spans="1:7" x14ac:dyDescent="0.4">
      <c r="A22" s="13" t="s">
        <v>16</v>
      </c>
      <c r="B22" s="3">
        <v>200</v>
      </c>
      <c r="C22" s="3">
        <v>12</v>
      </c>
      <c r="D22" s="3">
        <f t="shared" si="0"/>
        <v>2400</v>
      </c>
      <c r="E22" s="8"/>
      <c r="G22" s="1"/>
    </row>
    <row r="23" spans="1:7" x14ac:dyDescent="0.4">
      <c r="A23" s="13" t="s">
        <v>10</v>
      </c>
      <c r="B23" s="3">
        <v>200</v>
      </c>
      <c r="C23" s="3">
        <v>18</v>
      </c>
      <c r="D23" s="3">
        <f t="shared" si="0"/>
        <v>3600</v>
      </c>
      <c r="E23" s="8"/>
    </row>
    <row r="24" spans="1:7" x14ac:dyDescent="0.4">
      <c r="A24" s="13" t="s">
        <v>11</v>
      </c>
      <c r="B24" s="3">
        <v>200</v>
      </c>
      <c r="C24" s="3">
        <v>18</v>
      </c>
      <c r="D24" s="3">
        <f t="shared" si="0"/>
        <v>3600</v>
      </c>
      <c r="E24" s="8"/>
    </row>
    <row r="25" spans="1:7" x14ac:dyDescent="0.4">
      <c r="A25" s="13" t="s">
        <v>12</v>
      </c>
      <c r="B25" s="3">
        <v>200</v>
      </c>
      <c r="C25" s="3">
        <v>12</v>
      </c>
      <c r="D25" s="3">
        <f t="shared" si="0"/>
        <v>2400</v>
      </c>
      <c r="E25" s="8"/>
    </row>
    <row r="26" spans="1:7" x14ac:dyDescent="0.4">
      <c r="A26" s="13" t="s">
        <v>23</v>
      </c>
      <c r="B26" s="3">
        <v>500</v>
      </c>
      <c r="C26" s="3">
        <v>2</v>
      </c>
      <c r="D26" s="3">
        <f t="shared" si="0"/>
        <v>1000</v>
      </c>
      <c r="E26" s="8"/>
    </row>
    <row r="27" spans="1:7" x14ac:dyDescent="0.4">
      <c r="A27" s="13" t="s">
        <v>61</v>
      </c>
      <c r="B27" s="3">
        <v>5000</v>
      </c>
      <c r="C27" s="3">
        <v>1</v>
      </c>
      <c r="D27" s="3">
        <f t="shared" ref="D27" si="1">SUM(B27*C27)</f>
        <v>5000</v>
      </c>
      <c r="E27" s="8"/>
    </row>
    <row r="28" spans="1:7" x14ac:dyDescent="0.4">
      <c r="A28" s="13" t="s">
        <v>70</v>
      </c>
      <c r="B28" s="3">
        <v>500</v>
      </c>
      <c r="C28" s="3">
        <v>7</v>
      </c>
      <c r="D28" s="3">
        <f>SUM(B28*C28)</f>
        <v>3500</v>
      </c>
      <c r="E28" s="3"/>
    </row>
    <row r="30" spans="1:7" x14ac:dyDescent="0.4">
      <c r="A30" s="23" t="s">
        <v>25</v>
      </c>
      <c r="B30" s="3"/>
      <c r="C30" s="3"/>
      <c r="D30" s="3"/>
      <c r="E30" s="8"/>
    </row>
    <row r="31" spans="1:7" x14ac:dyDescent="0.4">
      <c r="A31" s="13" t="s">
        <v>26</v>
      </c>
      <c r="B31" s="3">
        <v>2500</v>
      </c>
      <c r="C31" s="3">
        <v>1</v>
      </c>
      <c r="D31" s="3">
        <f>SUM(B31*C31)</f>
        <v>2500</v>
      </c>
      <c r="E31" s="8" t="s">
        <v>58</v>
      </c>
    </row>
    <row r="32" spans="1:7" x14ac:dyDescent="0.4">
      <c r="A32" s="13" t="s">
        <v>59</v>
      </c>
      <c r="B32" s="3">
        <v>800</v>
      </c>
      <c r="C32" s="3">
        <v>5</v>
      </c>
      <c r="D32" s="3">
        <f>SUM(B32*C32)</f>
        <v>4000</v>
      </c>
      <c r="E32" s="8"/>
    </row>
    <row r="33" spans="1:6" x14ac:dyDescent="0.4">
      <c r="A33" s="13" t="s">
        <v>69</v>
      </c>
      <c r="B33" s="3">
        <v>5000</v>
      </c>
      <c r="C33" s="3">
        <v>1</v>
      </c>
      <c r="D33" s="3">
        <f t="shared" ref="D33:D34" si="2">SUM(B33*C33)</f>
        <v>5000</v>
      </c>
      <c r="E33" s="19"/>
    </row>
    <row r="34" spans="1:6" x14ac:dyDescent="0.4">
      <c r="A34" s="13" t="s">
        <v>30</v>
      </c>
      <c r="B34" s="21">
        <v>1000</v>
      </c>
      <c r="C34" s="21">
        <v>1</v>
      </c>
      <c r="D34" s="21">
        <f t="shared" si="2"/>
        <v>1000</v>
      </c>
      <c r="E34" s="19"/>
    </row>
    <row r="35" spans="1:6" x14ac:dyDescent="0.4">
      <c r="A35" s="7"/>
      <c r="B35" s="3"/>
      <c r="C35" s="3"/>
      <c r="D35" s="3"/>
      <c r="E35" s="8"/>
    </row>
    <row r="36" spans="1:6" x14ac:dyDescent="0.4">
      <c r="A36" s="14"/>
      <c r="B36" s="15"/>
      <c r="C36" s="15"/>
      <c r="D36" s="15"/>
      <c r="E36" s="16"/>
    </row>
    <row r="37" spans="1:6" x14ac:dyDescent="0.4">
      <c r="A37" s="14"/>
      <c r="B37" s="15"/>
      <c r="C37" s="15"/>
      <c r="D37" s="15"/>
      <c r="E37" s="16"/>
    </row>
    <row r="38" spans="1:6" x14ac:dyDescent="0.4">
      <c r="A38" s="14"/>
      <c r="B38" s="15"/>
      <c r="C38" s="15"/>
      <c r="D38" s="15"/>
      <c r="E38" s="16"/>
    </row>
    <row r="39" spans="1:6" ht="19.5" thickBot="1" x14ac:dyDescent="0.45">
      <c r="A39" s="10"/>
      <c r="B39" s="11"/>
      <c r="C39" s="11"/>
      <c r="D39" s="11">
        <f>SUM(D4:D34)</f>
        <v>115396</v>
      </c>
      <c r="E39" s="12"/>
    </row>
    <row r="41" spans="1:6" x14ac:dyDescent="0.4">
      <c r="E41" t="s">
        <v>47</v>
      </c>
      <c r="F41">
        <v>65000</v>
      </c>
    </row>
    <row r="42" spans="1:6" x14ac:dyDescent="0.4">
      <c r="E42" t="s">
        <v>67</v>
      </c>
    </row>
    <row r="44" spans="1:6" x14ac:dyDescent="0.4">
      <c r="E44" t="s">
        <v>68</v>
      </c>
      <c r="F44">
        <f>SUM(F41,D39)</f>
        <v>180396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2026.9.1</vt:lpstr>
      <vt:lpstr>2026.9.3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Makiko Shimoda</dc:creator>
  <cp:lastModifiedBy>Makiko Shimoda</cp:lastModifiedBy>
  <dcterms:created xsi:type="dcterms:W3CDTF">2026-09-01T05:26:58Z</dcterms:created>
  <dcterms:modified xsi:type="dcterms:W3CDTF">2026-09-03T22:17:05Z</dcterms:modified>
</cp:coreProperties>
</file>